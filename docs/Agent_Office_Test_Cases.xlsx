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28" customWidth="1" min="4" max="4"/>
    <col width="48" customWidth="1" min="5" max="5"/>
    <col width="48" customWidth="1" min="6" max="6"/>
    <col width="10" customWidth="1" min="7" max="7"/>
    <col width="11" customWidth="1" min="8" max="8"/>
    <col width="12" customWidth="1" min="9" max="9"/>
    <col width="12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Use case / scenario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Tester</t>
        </is>
      </c>
      <c r="J1" s="1" t="inlineStr">
        <is>
          <t>Date</t>
        </is>
      </c>
      <c r="K1" s="1" t="inlineStr">
        <is>
          <t>Notes / evidence</t>
        </is>
      </c>
    </row>
    <row r="2">
      <c r="A2" s="2" t="inlineStr">
        <is>
          <t>TC-01</t>
        </is>
      </c>
      <c r="B2" s="2" t="inlineStr">
        <is>
          <t>Setup</t>
        </is>
      </c>
      <c r="C2" s="2" t="inlineStr">
        <is>
          <t>Simulation mode starts with no opencode</t>
        </is>
      </c>
      <c r="D2" s="2" t="inlineStr">
        <is>
          <t>Node &gt;= 20, npm install done</t>
        </is>
      </c>
      <c r="E2" s="2" t="inlineStr">
        <is>
          <t>1. Run `npm run dev` with no OPENCODE_URLS set.
2. Open http://127.0.0.1:5173.</t>
        </is>
      </c>
      <c r="F2" s="2" t="inlineStr">
        <is>
          <t>Office renders with fake agents; UI clearly labels the session as SIMULATION (fake data).</t>
        </is>
      </c>
      <c r="G2" s="2" t="inlineStr">
        <is>
          <t>High</t>
        </is>
      </c>
      <c r="H2" s="2" t="inlineStr">
        <is>
          <t>Not run</t>
        </is>
      </c>
      <c r="I2" s="2" t="inlineStr"/>
      <c r="J2" s="2" t="inlineStr"/>
      <c r="K2" s="2" t="inlineStr"/>
    </row>
    <row r="3">
      <c r="A3" s="2" t="inlineStr">
        <is>
          <t>TC-02</t>
        </is>
      </c>
      <c r="B3" s="2" t="inlineStr">
        <is>
          <t>Setup</t>
        </is>
      </c>
      <c r="C3" s="2" t="inlineStr">
        <is>
          <t>Connect real opencode agents</t>
        </is>
      </c>
      <c r="D3" s="2" t="inlineStr">
        <is>
          <t>Two `opencode serve` instances on ports 4096/4097</t>
        </is>
      </c>
      <c r="E3" s="2" t="inlineStr">
        <is>
          <t>1. Run `OPENCODE_URLS=http://127.0.0.1:4096,http://127.0.0.1:4097 npm run dev`.
2. Open the office.</t>
        </is>
      </c>
      <c r="F3" s="2" t="inlineStr">
        <is>
          <t>One avatar per top-level session, each named after its opencode agent, seated at its own desk.</t>
        </is>
      </c>
      <c r="G3" s="2" t="inlineStr">
        <is>
          <t>High</t>
        </is>
      </c>
      <c r="H3" s="2" t="inlineStr">
        <is>
          <t>Not run</t>
        </is>
      </c>
      <c r="I3" s="2" t="inlineStr"/>
      <c r="J3" s="2" t="inlineStr"/>
      <c r="K3" s="2" t="inlineStr"/>
    </row>
    <row r="4">
      <c r="A4" s="2" t="inlineStr">
        <is>
          <t>TC-03</t>
        </is>
      </c>
      <c r="B4" s="2" t="inlineStr">
        <is>
          <t>Setup</t>
        </is>
      </c>
      <c r="C4" s="2" t="inlineStr">
        <is>
          <t>Peers auto-discovery (no URLs)</t>
        </is>
      </c>
      <c r="D4" s="2" t="inlineStr">
        <is>
          <t>opencode-plugin-peers installed; 2+ opencode TUIs running</t>
        </is>
      </c>
      <c r="E4" s="2" t="inlineStr">
        <is>
          <t>1. Start agents without --port.
2. Run `npm run dev` without OPENCODE_URLS.</t>
        </is>
      </c>
      <c r="F4" s="2" t="inlineStr">
        <is>
          <t>Every live peer appears automatically. Duplicate agent names get the peer name appended, e.g. `reviewer (backend)`.</t>
        </is>
      </c>
      <c r="G4" s="2" t="inlineStr">
        <is>
          <t>High</t>
        </is>
      </c>
      <c r="H4" s="2" t="inlineStr">
        <is>
          <t>Not run</t>
        </is>
      </c>
      <c r="I4" s="2" t="inlineStr"/>
      <c r="J4" s="2" t="inlineStr"/>
      <c r="K4" s="2" t="inlineStr"/>
    </row>
    <row r="5">
      <c r="A5" s="2" t="inlineStr">
        <is>
          <t>TC-04</t>
        </is>
      </c>
      <c r="B5" s="2" t="inlineStr">
        <is>
          <t>Setup</t>
        </is>
      </c>
      <c r="C5" s="2" t="inlineStr">
        <is>
          <t>Production build on single port</t>
        </is>
      </c>
      <c r="D5" s="2" t="inlineStr"/>
      <c r="E5" s="2" t="inlineStr">
        <is>
          <t>1. `npm run build`.
2. `OPENCODE_URLS=... npm start`.
3. Open http://localhost:4317.</t>
        </is>
      </c>
      <c r="F5" s="2" t="inlineStr">
        <is>
          <t>UI and API both served on 4317; no console errors.</t>
        </is>
      </c>
      <c r="G5" s="2" t="inlineStr">
        <is>
          <t>Medium</t>
        </is>
      </c>
      <c r="H5" s="2" t="inlineStr">
        <is>
          <t>Not run</t>
        </is>
      </c>
      <c r="I5" s="2" t="inlineStr"/>
      <c r="J5" s="2" t="inlineStr"/>
      <c r="K5" s="2" t="inlineStr"/>
    </row>
    <row r="6">
      <c r="A6" s="2" t="inlineStr">
        <is>
          <t>TC-05</t>
        </is>
      </c>
      <c r="B6" s="2" t="inlineStr">
        <is>
          <t>Agent states</t>
        </is>
      </c>
      <c r="C6" s="2" t="inlineStr">
        <is>
          <t>Working agent sits at its desk</t>
        </is>
      </c>
      <c r="D6" s="2" t="inlineStr">
        <is>
          <t>Connected agent</t>
        </is>
      </c>
      <c r="E6" s="2" t="inlineStr">
        <is>
          <t>1. Send the agent a task that takes a while (chat tab).</t>
        </is>
      </c>
      <c r="F6" s="2" t="inlineStr">
        <is>
          <t>Agent walks to its own desk, monitor glows, thought bubble shown while session is busy/retry.</t>
        </is>
      </c>
      <c r="G6" s="2" t="inlineStr">
        <is>
          <t>High</t>
        </is>
      </c>
      <c r="H6" s="2" t="inlineStr">
        <is>
          <t>Not run</t>
        </is>
      </c>
      <c r="I6" s="2" t="inlineStr"/>
      <c r="J6" s="2" t="inlineStr"/>
      <c r="K6" s="2" t="inlineStr"/>
    </row>
    <row r="7">
      <c r="A7" s="2" t="inlineStr">
        <is>
          <t>TC-06</t>
        </is>
      </c>
      <c r="B7" s="2" t="inlineStr">
        <is>
          <t>Agent states</t>
        </is>
      </c>
      <c r="C7" s="2" t="inlineStr">
        <is>
          <t>Idle agent goes to coffee machine</t>
        </is>
      </c>
      <c r="D7" s="2" t="inlineStr">
        <is>
          <t>Agent finishes its task</t>
        </is>
      </c>
      <c r="E7" s="2" t="inlineStr">
        <is>
          <t>1. Wait for session.idle.</t>
        </is>
      </c>
      <c r="F7" s="2" t="inlineStr">
        <is>
          <t>Agent walks to the coffee machine holding a cup.</t>
        </is>
      </c>
      <c r="G7" s="2" t="inlineStr">
        <is>
          <t>High</t>
        </is>
      </c>
      <c r="H7" s="2" t="inlineStr">
        <is>
          <t>Not run</t>
        </is>
      </c>
      <c r="I7" s="2" t="inlineStr"/>
      <c r="J7" s="2" t="inlineStr"/>
      <c r="K7" s="2" t="inlineStr"/>
    </row>
    <row r="8">
      <c r="A8" s="2" t="inlineStr">
        <is>
          <t>TC-07</t>
        </is>
      </c>
      <c r="B8" s="2" t="inlineStr">
        <is>
          <t>Agent states</t>
        </is>
      </c>
      <c r="C8" s="2" t="inlineStr">
        <is>
          <t>Permission request sends agent to boss desk</t>
        </is>
      </c>
      <c r="D8" s="2" t="inlineStr">
        <is>
          <t>opencode permission = ask</t>
        </is>
      </c>
      <c r="E8" s="2" t="inlineStr">
        <is>
          <t>1. Ask agent to run a bash command (e.g. `npm test`).</t>
        </is>
      </c>
      <c r="F8" s="2" t="inlineStr">
        <is>
          <t>Agent walks to the boss desk with a `!`; request appears in the agent window and the inbox.</t>
        </is>
      </c>
      <c r="G8" s="2" t="inlineStr">
        <is>
          <t>High</t>
        </is>
      </c>
      <c r="H8" s="2" t="inlineStr">
        <is>
          <t>Not run</t>
        </is>
      </c>
      <c r="I8" s="2" t="inlineStr"/>
      <c r="J8" s="2" t="inlineStr"/>
      <c r="K8" s="2" t="inlineStr"/>
    </row>
    <row r="9">
      <c r="A9" s="2" t="inlineStr">
        <is>
          <t>TC-08</t>
        </is>
      </c>
      <c r="B9" s="2" t="inlineStr">
        <is>
          <t>Conversations</t>
        </is>
      </c>
      <c r="C9" s="2" t="inlineStr">
        <is>
          <t>1:1 conversation between two agents</t>
        </is>
      </c>
      <c r="D9" s="2" t="inlineStr">
        <is>
          <t>Peers plugin installed</t>
        </is>
      </c>
      <c r="E9" s="2" t="inlineStr">
        <is>
          <t>1. Ask agent A to send a message to agent B.</t>
        </is>
      </c>
      <c r="F9" s="2" t="inlineStr">
        <is>
          <t>A (the initiator) walks to B's desk; both stay there while conversation active.</t>
        </is>
      </c>
      <c r="G9" s="2" t="inlineStr">
        <is>
          <t>High</t>
        </is>
      </c>
      <c r="H9" s="2" t="inlineStr">
        <is>
          <t>Not run</t>
        </is>
      </c>
      <c r="I9" s="2" t="inlineStr"/>
      <c r="J9" s="2" t="inlineStr"/>
      <c r="K9" s="2" t="inlineStr"/>
    </row>
    <row r="10">
      <c r="A10" s="2" t="inlineStr">
        <is>
          <t>TC-09</t>
        </is>
      </c>
      <c r="B10" s="2" t="inlineStr">
        <is>
          <t>Conversations</t>
        </is>
      </c>
      <c r="C10" s="2" t="inlineStr">
        <is>
          <t>Group conversation (3+)</t>
        </is>
      </c>
      <c r="D10" s="2" t="inlineStr">
        <is>
          <t>3 peers</t>
        </is>
      </c>
      <c r="E10" s="2" t="inlineStr">
        <is>
          <t>1. A messages B, then B pulls in C.</t>
        </is>
      </c>
      <c r="F10" s="2" t="inlineStr">
        <is>
          <t>All three merge into one group and gather at one participant's desk, chosen randomly and stable for the conversation's lifetime.</t>
        </is>
      </c>
      <c r="G10" s="2" t="inlineStr">
        <is>
          <t>Medium</t>
        </is>
      </c>
      <c r="H10" s="2" t="inlineStr">
        <is>
          <t>Not run</t>
        </is>
      </c>
      <c r="I10" s="2" t="inlineStr"/>
      <c r="J10" s="2" t="inlineStr"/>
      <c r="K10" s="2" t="inlineStr"/>
    </row>
    <row r="11">
      <c r="A11" s="2" t="inlineStr">
        <is>
          <t>TC-10</t>
        </is>
      </c>
      <c r="B11" s="2" t="inlineStr">
        <is>
          <t>Conversations</t>
        </is>
      </c>
      <c r="C11" s="2" t="inlineStr">
        <is>
          <t>Conversation timeout</t>
        </is>
      </c>
      <c r="D11" s="2" t="inlineStr">
        <is>
          <t>OFFICE_CONVERSATION_TTL_S=20</t>
        </is>
      </c>
      <c r="E11" s="2" t="inlineStr">
        <is>
          <t>1. Start an A↔B conversation.
2. Stay silent &gt; 20 s.</t>
        </is>
      </c>
      <c r="F11" s="2" t="inlineStr">
        <is>
          <t>Conversation ends; agents return to desk/coffee according to their status.</t>
        </is>
      </c>
      <c r="G11" s="2" t="inlineStr">
        <is>
          <t>Medium</t>
        </is>
      </c>
      <c r="H11" s="2" t="inlineStr">
        <is>
          <t>Not run</t>
        </is>
      </c>
      <c r="I11" s="2" t="inlineStr"/>
      <c r="J11" s="2" t="inlineStr"/>
      <c r="K11" s="2" t="inlineStr"/>
    </row>
    <row r="12">
      <c r="A12" s="2" t="inlineStr">
        <is>
          <t>TC-11</t>
        </is>
      </c>
      <c r="B12" s="2" t="inlineStr">
        <is>
          <t>Conversations</t>
        </is>
      </c>
      <c r="C12" s="2" t="inlineStr">
        <is>
          <t>Sub-agents shown only when enabled</t>
        </is>
      </c>
      <c r="D12" s="2" t="inlineStr">
        <is>
          <t>OFFICE_INCLUDE_SUBAGENTS=1</t>
        </is>
      </c>
      <c r="E12" s="2" t="inlineStr">
        <is>
          <t>1. Ask an agent to use the `task` tool.
2. Repeat with the variable unset.</t>
        </is>
      </c>
      <c r="F12" s="2" t="inlineStr">
        <is>
          <t>With =1 the sub-agent appears and talks with its parent; with default 0 it is hidden.</t>
        </is>
      </c>
      <c r="G12" s="2" t="inlineStr">
        <is>
          <t>Low</t>
        </is>
      </c>
      <c r="H12" s="2" t="inlineStr">
        <is>
          <t>Not run</t>
        </is>
      </c>
      <c r="I12" s="2" t="inlineStr"/>
      <c r="J12" s="2" t="inlineStr"/>
      <c r="K12" s="2" t="inlineStr"/>
    </row>
    <row r="13">
      <c r="A13" s="2" t="inlineStr">
        <is>
          <t>TC-12</t>
        </is>
      </c>
      <c r="B13" s="2" t="inlineStr">
        <is>
          <t>Terminal window</t>
        </is>
      </c>
      <c r="C13" s="2" t="inlineStr">
        <is>
          <t>Reasoning tab live stream</t>
        </is>
      </c>
      <c r="D13" s="2" t="inlineStr">
        <is>
          <t>Agent working</t>
        </is>
      </c>
      <c r="E13" s="2" t="inlineStr">
        <is>
          <t>1. Click the agent.
2. Open the reasoning tab.</t>
        </is>
      </c>
      <c r="F13" s="2" t="inlineStr">
        <is>
          <t>Reasoning, tool calls and peer messages stream live and in order.</t>
        </is>
      </c>
      <c r="G13" s="2" t="inlineStr">
        <is>
          <t>High</t>
        </is>
      </c>
      <c r="H13" s="2" t="inlineStr">
        <is>
          <t>Not run</t>
        </is>
      </c>
      <c r="I13" s="2" t="inlineStr"/>
      <c r="J13" s="2" t="inlineStr"/>
      <c r="K13" s="2" t="inlineStr"/>
    </row>
    <row r="14">
      <c r="A14" s="2" t="inlineStr">
        <is>
          <t>TC-13</t>
        </is>
      </c>
      <c r="B14" s="2" t="inlineStr">
        <is>
          <t>Terminal window</t>
        </is>
      </c>
      <c r="C14" s="2" t="inlineStr">
        <is>
          <t>Chat with an agent</t>
        </is>
      </c>
      <c r="D14" s="2" t="inlineStr">
        <is>
          <t>Connected agent</t>
        </is>
      </c>
      <c r="E14" s="2" t="inlineStr">
        <is>
          <t>1. Open chat tab, send `Summarise README`.</t>
        </is>
      </c>
      <c r="F14" s="2" t="inlineStr">
        <is>
          <t>AI-transparency notice shown; message reaches the opencode session (HTTP 202); reply appears.</t>
        </is>
      </c>
      <c r="G14" s="2" t="inlineStr">
        <is>
          <t>High</t>
        </is>
      </c>
      <c r="H14" s="2" t="inlineStr">
        <is>
          <t>Not run</t>
        </is>
      </c>
      <c r="I14" s="2" t="inlineStr"/>
      <c r="J14" s="2" t="inlineStr"/>
      <c r="K14" s="2" t="inlineStr"/>
    </row>
    <row r="15">
      <c r="A15" s="2" t="inlineStr">
        <is>
          <t>TC-14</t>
        </is>
      </c>
      <c r="B15" s="2" t="inlineStr">
        <is>
          <t>Terminal window</t>
        </is>
      </c>
      <c r="C15" s="2" t="inlineStr">
        <is>
          <t>Chat input validation</t>
        </is>
      </c>
      <c r="D15" s="2" t="inlineStr"/>
      <c r="E15" s="2" t="inlineStr">
        <is>
          <t>1. Try to send an empty message.
2. Try to send &gt; 20,000 characters.</t>
        </is>
      </c>
      <c r="F15" s="2" t="inlineStr">
        <is>
          <t>Both rejected (400 'text must be 1-20000 characters'); no message sent to opencode.</t>
        </is>
      </c>
      <c r="G15" s="2" t="inlineStr">
        <is>
          <t>Medium</t>
        </is>
      </c>
      <c r="H15" s="2" t="inlineStr">
        <is>
          <t>Not run</t>
        </is>
      </c>
      <c r="I15" s="2" t="inlineStr"/>
      <c r="J15" s="2" t="inlineStr"/>
      <c r="K15" s="2" t="inlineStr"/>
    </row>
    <row r="16">
      <c r="A16" s="2" t="inlineStr">
        <is>
          <t>TC-15</t>
        </is>
      </c>
      <c r="B16" s="2" t="inlineStr">
        <is>
          <t>Terminal window</t>
        </is>
      </c>
      <c r="C16" s="2" t="inlineStr">
        <is>
          <t>XSS safety of agent output</t>
        </is>
      </c>
      <c r="D16" s="2" t="inlineStr">
        <is>
          <t>Agent connected</t>
        </is>
      </c>
      <c r="E16" s="2" t="inlineStr">
        <is>
          <t>1. Ask the agent to output `&lt;img src=x onerror=alert(1)&gt;` and `&lt;script&gt;alert(1)&lt;/script&gt;`.</t>
        </is>
      </c>
      <c r="F16" s="2" t="inlineStr">
        <is>
          <t>Text shown literally; no script runs (output rendered via textContent).</t>
        </is>
      </c>
      <c r="G16" s="2" t="inlineStr">
        <is>
          <t>High</t>
        </is>
      </c>
      <c r="H16" s="2" t="inlineStr">
        <is>
          <t>Not run</t>
        </is>
      </c>
      <c r="I16" s="2" t="inlineStr"/>
      <c r="J16" s="2" t="inlineStr"/>
      <c r="K16" s="2" t="inlineStr"/>
    </row>
    <row r="17">
      <c r="A17" s="2" t="inlineStr">
        <is>
          <t>TC-16</t>
        </is>
      </c>
      <c r="B17" s="2" t="inlineStr">
        <is>
          <t>Memory</t>
        </is>
      </c>
      <c r="C17" s="2" t="inlineStr">
        <is>
          <t>Read and edit agent memory</t>
        </is>
      </c>
      <c r="D17" s="2" t="inlineStr">
        <is>
          <t>memory/&lt;slug&gt;.md exists</t>
        </is>
      </c>
      <c r="E17" s="2" t="inlineStr">
        <is>
          <t>1. Open memory tab.
2. Edit, save.
3. Reload the page.</t>
        </is>
      </c>
      <c r="F17" s="2" t="inlineStr">
        <is>
          <t>Edits persist in memory/&lt;slug&gt;.md and are shown after reload.</t>
        </is>
      </c>
      <c r="G17" s="2" t="inlineStr">
        <is>
          <t>High</t>
        </is>
      </c>
      <c r="H17" s="2" t="inlineStr">
        <is>
          <t>Not run</t>
        </is>
      </c>
      <c r="I17" s="2" t="inlineStr"/>
      <c r="J17" s="2" t="inlineStr"/>
      <c r="K17" s="2" t="inlineStr"/>
    </row>
    <row r="18">
      <c r="A18" s="2" t="inlineStr">
        <is>
          <t>TC-17</t>
        </is>
      </c>
      <c r="B18" s="2" t="inlineStr">
        <is>
          <t>Memory</t>
        </is>
      </c>
      <c r="C18" s="2" t="inlineStr">
        <is>
          <t>Linked project memory layout</t>
        </is>
      </c>
      <c r="D18" s="2" t="inlineStr">
        <is>
          <t>Existing project with agents/&lt;agent&gt;/memory.md</t>
        </is>
      </c>
      <c r="E18" s="2" t="inlineStr">
        <is>
          <t>1. Run `OFFICE_MEMORY_PATH="{project}/agents/{agent}/memory.md" npm run dev`.
2. Open memory tab, edit, save.</t>
        </is>
      </c>
      <c r="F18" s="2" t="inlineStr">
        <is>
          <t>The project's own file is read and written in place (nothing copied into the office folder).</t>
        </is>
      </c>
      <c r="G18" s="2" t="inlineStr">
        <is>
          <t>High</t>
        </is>
      </c>
      <c r="H18" s="2" t="inlineStr">
        <is>
          <t>Not run</t>
        </is>
      </c>
      <c r="I18" s="2" t="inlineStr"/>
      <c r="J18" s="2" t="inlineStr"/>
      <c r="K18" s="2" t="inlineStr"/>
    </row>
    <row r="19">
      <c r="A19" s="2" t="inlineStr">
        <is>
          <t>TC-18</t>
        </is>
      </c>
      <c r="B19" s="2" t="inlineStr">
        <is>
          <t>Memory</t>
        </is>
      </c>
      <c r="C19" s="2" t="inlineStr">
        <is>
          <t>Multiple templates, first existing wins</t>
        </is>
      </c>
      <c r="D19" s="2" t="inlineStr">
        <is>
          <t>Two templates separated by `;`</t>
        </is>
      </c>
      <c r="E19" s="2" t="inlineStr">
        <is>
          <t>1. Set two templates; only the second file exists.
2. Then test an agent with neither file.</t>
        </is>
      </c>
      <c r="F19" s="2" t="inlineStr">
        <is>
          <t>Existing second file is used; new files are created at the first template.</t>
        </is>
      </c>
      <c r="G19" s="2" t="inlineStr">
        <is>
          <t>Medium</t>
        </is>
      </c>
      <c r="H19" s="2" t="inlineStr">
        <is>
          <t>Not run</t>
        </is>
      </c>
      <c r="I19" s="2" t="inlineStr"/>
      <c r="J19" s="2" t="inlineStr"/>
      <c r="K19" s="2" t="inlineStr"/>
    </row>
    <row r="20">
      <c r="A20" s="2" t="inlineStr">
        <is>
          <t>TC-19</t>
        </is>
      </c>
      <c r="B20" s="2" t="inlineStr">
        <is>
          <t>Memory</t>
        </is>
      </c>
      <c r="C20" s="2" t="inlineStr">
        <is>
          <t>Path traversal / symlink blocked</t>
        </is>
      </c>
      <c r="D20" s="2" t="inlineStr"/>
      <c r="E20" s="2" t="inlineStr">
        <is>
          <t>1. Create a symlink memory file pointing outside allowed roots.
2. Try a template not ending in .md.</t>
        </is>
      </c>
      <c r="F20" s="2" t="inlineStr">
        <is>
          <t>Refused with a clear error; no file read/written outside allowed roots.</t>
        </is>
      </c>
      <c r="G20" s="2" t="inlineStr">
        <is>
          <t>High</t>
        </is>
      </c>
      <c r="H20" s="2" t="inlineStr">
        <is>
          <t>Not run</t>
        </is>
      </c>
      <c r="I20" s="2" t="inlineStr"/>
      <c r="J20" s="2" t="inlineStr"/>
      <c r="K20" s="2" t="inlineStr"/>
    </row>
    <row r="21">
      <c r="A21" s="2" t="inlineStr">
        <is>
          <t>TC-20</t>
        </is>
      </c>
      <c r="B21" s="2" t="inlineStr">
        <is>
          <t>Memory</t>
        </is>
      </c>
      <c r="C21" s="2" t="inlineStr">
        <is>
          <t>Size limit</t>
        </is>
      </c>
      <c r="D21" s="2" t="inlineStr"/>
      <c r="E21" s="2" t="inlineStr">
        <is>
          <t>1. Paste &gt; 256 KB into memory and save.</t>
        </is>
      </c>
      <c r="F21" s="2" t="inlineStr">
        <is>
          <t>Save rejected with an error; existing file unchanged.</t>
        </is>
      </c>
      <c r="G21" s="2" t="inlineStr">
        <is>
          <t>Medium</t>
        </is>
      </c>
      <c r="H21" s="2" t="inlineStr">
        <is>
          <t>Not run</t>
        </is>
      </c>
      <c r="I21" s="2" t="inlineStr"/>
      <c r="J21" s="2" t="inlineStr"/>
      <c r="K21" s="2" t="inlineStr"/>
    </row>
    <row r="22">
      <c r="A22" s="2" t="inlineStr">
        <is>
          <t>TC-21</t>
        </is>
      </c>
      <c r="B22" s="2" t="inlineStr">
        <is>
          <t>Permissions</t>
        </is>
      </c>
      <c r="C22" s="2" t="inlineStr">
        <is>
          <t>Approve this time</t>
        </is>
      </c>
      <c r="D22" s="2" t="inlineStr">
        <is>
          <t>Pending request</t>
        </is>
      </c>
      <c r="E22" s="2" t="inlineStr">
        <is>
          <t>1. Choose **approve this time**.</t>
        </is>
      </c>
      <c r="F22" s="2" t="inlineStr">
        <is>
          <t>Only this request runs; next identical request asks again.</t>
        </is>
      </c>
      <c r="G22" s="2" t="inlineStr">
        <is>
          <t>High</t>
        </is>
      </c>
      <c r="H22" s="2" t="inlineStr">
        <is>
          <t>Not run</t>
        </is>
      </c>
      <c r="I22" s="2" t="inlineStr"/>
      <c r="J22" s="2" t="inlineStr"/>
      <c r="K22" s="2" t="inlineStr"/>
    </row>
    <row r="23">
      <c r="A23" s="2" t="inlineStr">
        <is>
          <t>TC-22</t>
        </is>
      </c>
      <c r="B23" s="2" t="inlineStr">
        <is>
          <t>Permissions</t>
        </is>
      </c>
      <c r="C23" s="2" t="inlineStr">
        <is>
          <t>Approve always with narrowed pattern</t>
        </is>
      </c>
      <c r="D23" s="2" t="inlineStr">
        <is>
          <t>Pending `npm *` request</t>
        </is>
      </c>
      <c r="E23" s="2" t="inlineStr">
        <is>
          <t>1. Choose **approve always...**.
2. Narrow to `npm test*`, save.</t>
        </is>
      </c>
      <c r="F23" s="2" t="inlineStr">
        <is>
          <t>Rule appears in rules panel; `npm test` auto-approved later (logged in terminal), `npm install` still asks.</t>
        </is>
      </c>
      <c r="G23" s="2" t="inlineStr">
        <is>
          <t>High</t>
        </is>
      </c>
      <c r="H23" s="2" t="inlineStr">
        <is>
          <t>Not run</t>
        </is>
      </c>
      <c r="I23" s="2" t="inlineStr"/>
      <c r="J23" s="2" t="inlineStr"/>
      <c r="K23" s="2" t="inlineStr"/>
    </row>
    <row r="24">
      <c r="A24" s="2" t="inlineStr">
        <is>
          <t>TC-23</t>
        </is>
      </c>
      <c r="B24" s="2" t="inlineStr">
        <is>
          <t>Permissions</t>
        </is>
      </c>
      <c r="C24" s="2" t="inlineStr">
        <is>
          <t>Restrict &amp; retry with hint</t>
        </is>
      </c>
      <c r="D24" s="2" t="inlineStr">
        <is>
          <t>Pending broad request</t>
        </is>
      </c>
      <c r="E24" s="2" t="inlineStr">
        <is>
          <t>1. Choose **restrict &amp; retry...**, hint: 'only touch src/'.</t>
        </is>
      </c>
      <c r="F24" s="2" t="inlineStr">
        <is>
          <t>Request rejected; agent receives hint and retries with a narrower request.</t>
        </is>
      </c>
      <c r="G24" s="2" t="inlineStr">
        <is>
          <t>High</t>
        </is>
      </c>
      <c r="H24" s="2" t="inlineStr">
        <is>
          <t>Not run</t>
        </is>
      </c>
      <c r="I24" s="2" t="inlineStr"/>
      <c r="J24" s="2" t="inlineStr"/>
      <c r="K24" s="2" t="inlineStr"/>
    </row>
    <row r="25">
      <c r="A25" s="2" t="inlineStr">
        <is>
          <t>TC-24</t>
        </is>
      </c>
      <c r="B25" s="2" t="inlineStr">
        <is>
          <t>Permissions</t>
        </is>
      </c>
      <c r="C25" s="2" t="inlineStr">
        <is>
          <t>No (reject once)</t>
        </is>
      </c>
      <c r="D25" s="2" t="inlineStr">
        <is>
          <t>Pending request</t>
        </is>
      </c>
      <c r="E25" s="2" t="inlineStr">
        <is>
          <t>1. Choose **no**.</t>
        </is>
      </c>
      <c r="F25" s="2" t="inlineStr">
        <is>
          <t>Request rejected; no rule saved.</t>
        </is>
      </c>
      <c r="G25" s="2" t="inlineStr">
        <is>
          <t>Medium</t>
        </is>
      </c>
      <c r="H25" s="2" t="inlineStr">
        <is>
          <t>Not run</t>
        </is>
      </c>
      <c r="I25" s="2" t="inlineStr"/>
      <c r="J25" s="2" t="inlineStr"/>
      <c r="K25" s="2" t="inlineStr"/>
    </row>
    <row r="26">
      <c r="A26" s="2" t="inlineStr">
        <is>
          <t>TC-25</t>
        </is>
      </c>
      <c r="B26" s="2" t="inlineStr">
        <is>
          <t>Permissions</t>
        </is>
      </c>
      <c r="C26" s="2" t="inlineStr">
        <is>
          <t>Never (deny rule)</t>
        </is>
      </c>
      <c r="D26" s="2" t="inlineStr">
        <is>
          <t>Pending `rm -rf build` request</t>
        </is>
      </c>
      <c r="E26" s="2" t="inlineStr">
        <is>
          <t>1. Choose **never...**, keep pattern `rm *`.</t>
        </is>
      </c>
      <c r="F26" s="2" t="inlineStr">
        <is>
          <t>Deny rule saved and flagged as broad; future matching requests auto-rejected.</t>
        </is>
      </c>
      <c r="G26" s="2" t="inlineStr">
        <is>
          <t>High</t>
        </is>
      </c>
      <c r="H26" s="2" t="inlineStr">
        <is>
          <t>Not run</t>
        </is>
      </c>
      <c r="I26" s="2" t="inlineStr"/>
      <c r="J26" s="2" t="inlineStr"/>
      <c r="K26" s="2" t="inlineStr"/>
    </row>
    <row r="27">
      <c r="A27" s="2" t="inlineStr">
        <is>
          <t>TC-26</t>
        </is>
      </c>
      <c r="B27" s="2" t="inlineStr">
        <is>
          <t>Permissions</t>
        </is>
      </c>
      <c r="C27" s="2" t="inlineStr">
        <is>
          <t>Deny wins over allow</t>
        </is>
      </c>
      <c r="D27" s="2" t="inlineStr">
        <is>
          <t>Allow `git *` and deny `git push*`</t>
        </is>
      </c>
      <c r="E27" s="2" t="inlineStr">
        <is>
          <t>1. Ask agent to `git push`.</t>
        </is>
      </c>
      <c r="F27" s="2" t="inlineStr">
        <is>
          <t>Request auto-rejected by the deny rule.</t>
        </is>
      </c>
      <c r="G27" s="2" t="inlineStr">
        <is>
          <t>High</t>
        </is>
      </c>
      <c r="H27" s="2" t="inlineStr">
        <is>
          <t>Not run</t>
        </is>
      </c>
      <c r="I27" s="2" t="inlineStr"/>
      <c r="J27" s="2" t="inlineStr"/>
      <c r="K27" s="2" t="inlineStr"/>
    </row>
    <row r="28">
      <c r="A28" s="2" t="inlineStr">
        <is>
          <t>TC-27</t>
        </is>
      </c>
      <c r="B28" s="2" t="inlineStr">
        <is>
          <t>Permissions</t>
        </is>
      </c>
      <c r="C28" s="2" t="inlineStr">
        <is>
          <t>Allow must cover every pattern</t>
        </is>
      </c>
      <c r="D28" s="2" t="inlineStr">
        <is>
          <t>Allow `npm test*` only</t>
        </is>
      </c>
      <c r="E28" s="2" t="inlineStr">
        <is>
          <t>1. Trigger a request with patterns `npm test` and `curl x`.</t>
        </is>
      </c>
      <c r="F28" s="2" t="inlineStr">
        <is>
          <t>Not auto-approved; goes to the boss desk.</t>
        </is>
      </c>
      <c r="G28" s="2" t="inlineStr">
        <is>
          <t>Medium</t>
        </is>
      </c>
      <c r="H28" s="2" t="inlineStr">
        <is>
          <t>Not run</t>
        </is>
      </c>
      <c r="I28" s="2" t="inlineStr"/>
      <c r="J28" s="2" t="inlineStr"/>
      <c r="K28" s="2" t="inlineStr"/>
    </row>
    <row r="29">
      <c r="A29" s="2" t="inlineStr">
        <is>
          <t>TC-28</t>
        </is>
      </c>
      <c r="B29" s="2" t="inlineStr">
        <is>
          <t>Permissions</t>
        </is>
      </c>
      <c r="C29" s="2" t="inlineStr">
        <is>
          <t>Edit / delete rules &amp; persistence</t>
        </is>
      </c>
      <c r="D29" s="2" t="inlineStr">
        <is>
          <t>Some rules exist</t>
        </is>
      </c>
      <c r="E29" s="2" t="inlineStr">
        <is>
          <t>1. Edit one rule, delete another.
2. Restart the server.</t>
        </is>
      </c>
      <c r="F29" s="2" t="inlineStr">
        <is>
          <t>Changes applied immediately to pending requests; rules survive restart in .office/permission-rules.json with 0600 perms.</t>
        </is>
      </c>
      <c r="G29" s="2" t="inlineStr">
        <is>
          <t>Medium</t>
        </is>
      </c>
      <c r="H29" s="2" t="inlineStr">
        <is>
          <t>Not run</t>
        </is>
      </c>
      <c r="I29" s="2" t="inlineStr"/>
      <c r="J29" s="2" t="inlineStr"/>
      <c r="K29" s="2" t="inlineStr"/>
    </row>
    <row r="30">
      <c r="A30" s="2" t="inlineStr">
        <is>
          <t>TC-29</t>
        </is>
      </c>
      <c r="B30" s="2" t="inlineStr">
        <is>
          <t>Permissions</t>
        </is>
      </c>
      <c r="C30" s="2" t="inlineStr">
        <is>
          <t>Peer with peerPermissions=allow warned</t>
        </is>
      </c>
      <c r="D30" s="2" t="inlineStr">
        <is>
          <t>One peer configured with allow</t>
        </is>
      </c>
      <c r="E30" s="2" t="inlineStr">
        <is>
          <t>1. Start office.</t>
        </is>
      </c>
      <c r="F30" s="2" t="inlineStr">
        <is>
          <t>Red warning names that peer.</t>
        </is>
      </c>
      <c r="G30" s="2" t="inlineStr">
        <is>
          <t>Medium</t>
        </is>
      </c>
      <c r="H30" s="2" t="inlineStr">
        <is>
          <t>Not run</t>
        </is>
      </c>
      <c r="I30" s="2" t="inlineStr"/>
      <c r="J30" s="2" t="inlineStr"/>
      <c r="K30" s="2" t="inlineStr"/>
    </row>
    <row r="31">
      <c r="A31" s="2" t="inlineStr">
        <is>
          <t>TC-30</t>
        </is>
      </c>
      <c r="B31" s="2" t="inlineStr">
        <is>
          <t>Security</t>
        </is>
      </c>
      <c r="C31" s="2" t="inlineStr">
        <is>
          <t>Non-loopback bind requires token</t>
        </is>
      </c>
      <c r="D31" s="2" t="inlineStr"/>
      <c r="E31" s="2" t="inlineStr">
        <is>
          <t>1. Run with OFFICE_HOST=0.0.0.0 and no OFFICE_TOKEN.
2. Repeat with a token; call API with/without it.</t>
        </is>
      </c>
      <c r="F31" s="2" t="inlineStr">
        <is>
          <t>Server refuses to start without token; with token, requests without `?token=`/Bearer get 401.</t>
        </is>
      </c>
      <c r="G31" s="2" t="inlineStr">
        <is>
          <t>High</t>
        </is>
      </c>
      <c r="H31" s="2" t="inlineStr">
        <is>
          <t>Not run</t>
        </is>
      </c>
      <c r="I31" s="2" t="inlineStr"/>
      <c r="J31" s="2" t="inlineStr"/>
      <c r="K31" s="2" t="inlineStr"/>
    </row>
    <row r="32">
      <c r="A32" s="2" t="inlineStr">
        <is>
          <t>TC-31</t>
        </is>
      </c>
      <c r="B32" s="2" t="inlineStr">
        <is>
          <t>Security</t>
        </is>
      </c>
      <c r="C32" s="2" t="inlineStr">
        <is>
          <t>DNS-rebinding guard</t>
        </is>
      </c>
      <c r="D32" s="2" t="inlineStr">
        <is>
          <t>Server running</t>
        </is>
      </c>
      <c r="E32" s="2" t="inlineStr">
        <is>
          <t>1. `curl -H 'Host: evil.com' http://127.0.0.1:4317/api/state`.</t>
        </is>
      </c>
      <c r="F32" s="2" t="inlineStr">
        <is>
          <t>Rejected; works again when host is added to OFFICE_ALLOWED_HOSTS.</t>
        </is>
      </c>
      <c r="G32" s="2" t="inlineStr">
        <is>
          <t>High</t>
        </is>
      </c>
      <c r="H32" s="2" t="inlineStr">
        <is>
          <t>Not run</t>
        </is>
      </c>
      <c r="I32" s="2" t="inlineStr"/>
      <c r="J32" s="2" t="inlineStr"/>
      <c r="K32" s="2" t="inlineStr"/>
    </row>
    <row r="33">
      <c r="A33" s="2" t="inlineStr">
        <is>
          <t>TC-32</t>
        </is>
      </c>
      <c r="B33" s="2" t="inlineStr">
        <is>
          <t>Security</t>
        </is>
      </c>
      <c r="C33" s="2" t="inlineStr">
        <is>
          <t>CSRF guard</t>
        </is>
      </c>
      <c r="D33" s="2" t="inlineStr">
        <is>
          <t>Server running</t>
        </is>
      </c>
      <c r="E33" s="2" t="inlineStr">
        <is>
          <t>1. POST to /api/agents/:id/message with Content-Type text/plain or a foreign Origin.</t>
        </is>
      </c>
      <c r="F33" s="2" t="inlineStr">
        <is>
          <t>Rejected; state is not changed.</t>
        </is>
      </c>
      <c r="G33" s="2" t="inlineStr">
        <is>
          <t>High</t>
        </is>
      </c>
      <c r="H33" s="2" t="inlineStr">
        <is>
          <t>Not run</t>
        </is>
      </c>
      <c r="I33" s="2" t="inlineStr"/>
      <c r="J33" s="2" t="inlineStr"/>
      <c r="K33" s="2" t="inlineStr"/>
    </row>
    <row r="34">
      <c r="A34" s="2" t="inlineStr">
        <is>
          <t>TC-33</t>
        </is>
      </c>
      <c r="B34" s="2" t="inlineStr">
        <is>
          <t>Security</t>
        </is>
      </c>
      <c r="C34" s="2" t="inlineStr">
        <is>
          <t>Security headers</t>
        </is>
      </c>
      <c r="D34" s="2" t="inlineStr"/>
      <c r="E34" s="2" t="inlineStr">
        <is>
          <t>1. Inspect response headers.</t>
        </is>
      </c>
      <c r="F34" s="2" t="inlineStr">
        <is>
          <t>CSP, X-Frame-Options: DENY, nosniff, no-referrer present.</t>
        </is>
      </c>
      <c r="G34" s="2" t="inlineStr">
        <is>
          <t>Medium</t>
        </is>
      </c>
      <c r="H34" s="2" t="inlineStr">
        <is>
          <t>Not run</t>
        </is>
      </c>
      <c r="I34" s="2" t="inlineStr"/>
      <c r="J34" s="2" t="inlineStr"/>
      <c r="K34" s="2" t="inlineStr"/>
    </row>
    <row r="35">
      <c r="A35" s="2" t="inlineStr">
        <is>
          <t>TC-34</t>
        </is>
      </c>
      <c r="B35" s="2" t="inlineStr">
        <is>
          <t>Compliance (GDPR / AI Act)</t>
        </is>
      </c>
      <c r="C35" s="2" t="inlineStr">
        <is>
          <t>No third-party network calls</t>
        </is>
      </c>
      <c r="D35" s="2" t="inlineStr">
        <is>
          <t>Browser devtools open</t>
        </is>
      </c>
      <c r="E35" s="2" t="inlineStr">
        <is>
          <t>1. Use the app for 5 min, watch the Network tab.</t>
        </is>
      </c>
      <c r="F35" s="2" t="inlineStr">
        <is>
          <t>Only requests to the office server (and configured opencode); no CDNs, fonts or analytics.</t>
        </is>
      </c>
      <c r="G35" s="2" t="inlineStr">
        <is>
          <t>High</t>
        </is>
      </c>
      <c r="H35" s="2" t="inlineStr">
        <is>
          <t>Not run</t>
        </is>
      </c>
      <c r="I35" s="2" t="inlineStr"/>
      <c r="J35" s="2" t="inlineStr"/>
      <c r="K35" s="2" t="inlineStr"/>
    </row>
    <row r="36">
      <c r="A36" s="2" t="inlineStr">
        <is>
          <t>TC-35</t>
        </is>
      </c>
      <c r="B36" s="2" t="inlineStr">
        <is>
          <t>Compliance (GDPR / AI Act)</t>
        </is>
      </c>
      <c r="C36" s="2" t="inlineStr">
        <is>
          <t>No persistence of agent traffic</t>
        </is>
      </c>
      <c r="D36" s="2" t="inlineStr"/>
      <c r="E36" s="2" t="inlineStr">
        <is>
          <t>1. Generate chat/reasoning logs.
2. Restart server.</t>
        </is>
      </c>
      <c r="F36" s="2" t="inlineStr">
        <is>
          <t>Logs gone after restart; ≤ 500 entries per agent while running; only memory/rules files on disk.</t>
        </is>
      </c>
      <c r="G36" s="2" t="inlineStr">
        <is>
          <t>Medium</t>
        </is>
      </c>
      <c r="H36" s="2" t="inlineStr">
        <is>
          <t>Not run</t>
        </is>
      </c>
      <c r="I36" s="2" t="inlineStr"/>
      <c r="J36" s="2" t="inlineStr"/>
      <c r="K36" s="2" t="inlineStr"/>
    </row>
    <row r="37">
      <c r="A37" s="2" t="inlineStr">
        <is>
          <t>TC-36</t>
        </is>
      </c>
      <c r="B37" s="2" t="inlineStr">
        <is>
          <t>Compliance (GDPR / AI Act)</t>
        </is>
      </c>
      <c r="C37" s="2" t="inlineStr">
        <is>
          <t>Erasure request (Art. 17)</t>
        </is>
      </c>
      <c r="D37" s="2" t="inlineStr">
        <is>
          <t>Memory contains test personal data</t>
        </is>
      </c>
      <c r="E37" s="2" t="inlineStr">
        <is>
          <t>1. Delete/edit the data via memory tab.</t>
        </is>
      </c>
      <c r="F37" s="2" t="inlineStr">
        <is>
          <t>Data removed from the file on disk; memory/*.md is git-ignored.</t>
        </is>
      </c>
      <c r="G37" s="2" t="inlineStr">
        <is>
          <t>Medium</t>
        </is>
      </c>
      <c r="H37" s="2" t="inlineStr">
        <is>
          <t>Not run</t>
        </is>
      </c>
      <c r="I37" s="2" t="inlineStr"/>
      <c r="J37" s="2" t="inlineStr"/>
      <c r="K37" s="2" t="inlineStr"/>
    </row>
    <row r="38">
      <c r="A38" s="2" t="inlineStr">
        <is>
          <t>TC-37</t>
        </is>
      </c>
      <c r="B38" s="2" t="inlineStr">
        <is>
          <t>Compliance (GDPR / AI Act)</t>
        </is>
      </c>
      <c r="C38" s="2" t="inlineStr">
        <is>
          <t>Human oversight (Art. 14)</t>
        </is>
      </c>
      <c r="D38" s="2" t="inlineStr">
        <is>
          <t>permission = ask</t>
        </is>
      </c>
      <c r="E38" s="2" t="inlineStr">
        <is>
          <t>1. Trigger 5 different tool actions.</t>
        </is>
      </c>
      <c r="F38" s="2" t="inlineStr">
        <is>
          <t>Each either reaches the boss desk or matches a visible human-created rule; auto-answers logged.</t>
        </is>
      </c>
      <c r="G38" s="2" t="inlineStr">
        <is>
          <t>High</t>
        </is>
      </c>
      <c r="H38" s="2" t="inlineStr">
        <is>
          <t>Not run</t>
        </is>
      </c>
      <c r="I38" s="2" t="inlineStr"/>
      <c r="J38" s="2" t="inlineStr"/>
      <c r="K38" s="2" t="inlineStr"/>
    </row>
    <row r="39">
      <c r="A39" s="2" t="inlineStr">
        <is>
          <t>TC-38</t>
        </is>
      </c>
      <c r="B39" s="2" t="inlineStr">
        <is>
          <t>Robustness</t>
        </is>
      </c>
      <c r="C39" s="2" t="inlineStr">
        <is>
          <t>opencode server goes down</t>
        </is>
      </c>
      <c r="D39" s="2" t="inlineStr">
        <is>
          <t>Connected agents</t>
        </is>
      </c>
      <c r="E39" s="2" t="inlineStr">
        <is>
          <t>1. Kill one opencode server.
2. Restart it.</t>
        </is>
      </c>
      <c r="F39" s="2" t="inlineStr">
        <is>
          <t>Office keeps running, no crash; agent reappears/reconnects after restart.</t>
        </is>
      </c>
      <c r="G39" s="2" t="inlineStr">
        <is>
          <t>Medium</t>
        </is>
      </c>
      <c r="H39" s="2" t="inlineStr">
        <is>
          <t>Not run</t>
        </is>
      </c>
      <c r="I39" s="2" t="inlineStr"/>
      <c r="J39" s="2" t="inlineStr"/>
      <c r="K39" s="2" t="inlineStr"/>
    </row>
    <row r="40">
      <c r="A40" s="2" t="inlineStr">
        <is>
          <t>TC-39</t>
        </is>
      </c>
      <c r="B40" s="2" t="inlineStr">
        <is>
          <t>Robustness</t>
        </is>
      </c>
      <c r="C40" s="2" t="inlineStr">
        <is>
          <t>Agent cap</t>
        </is>
      </c>
      <c r="D40" s="2" t="inlineStr">
        <is>
          <t>OFFICE_MAX_AGENTS=3, 5 sessions</t>
        </is>
      </c>
      <c r="E40" s="2" t="inlineStr">
        <is>
          <t>1. Start the office.</t>
        </is>
      </c>
      <c r="F40" s="2" t="inlineStr">
        <is>
          <t>At most 3 agents shown; no layout overlap.</t>
        </is>
      </c>
      <c r="G40" s="2" t="inlineStr">
        <is>
          <t>Low</t>
        </is>
      </c>
      <c r="H40" s="2" t="inlineStr">
        <is>
          <t>Not run</t>
        </is>
      </c>
      <c r="I40" s="2" t="inlineStr"/>
      <c r="J40" s="2" t="inlineStr"/>
      <c r="K40" s="2" t="inlineStr"/>
    </row>
    <row r="41">
      <c r="A41" s="2" t="inlineStr">
        <is>
          <t>TC-40</t>
        </is>
      </c>
      <c r="B41" s="2" t="inlineStr">
        <is>
          <t>Robustness</t>
        </is>
      </c>
      <c r="C41" s="2" t="inlineStr">
        <is>
          <t>Automated checks</t>
        </is>
      </c>
      <c r="D41" s="2" t="inlineStr"/>
      <c r="E41" s="2" t="inlineStr">
        <is>
          <t>1. `npm test`.
2. `npm run typecheck`.</t>
        </is>
      </c>
      <c r="F41" s="2" t="inlineStr">
        <is>
          <t>All tests pass; no type errors.</t>
        </is>
      </c>
      <c r="G41" s="2" t="inlineStr">
        <is>
          <t>High</t>
        </is>
      </c>
      <c r="H41" s="2" t="inlineStr">
        <is>
          <t>Not run</t>
        </is>
      </c>
      <c r="I41" s="2" t="inlineStr"/>
      <c r="J41" s="2" t="inlineStr"/>
      <c r="K41" s="2" t="inlineStr"/>
    </row>
  </sheetData>
  <autoFilter ref="A1:K41"/>
  <conditionalFormatting sqref="H2:H4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H2:H41" showDropDown="0" showInputMessage="0" showErrorMessage="0" allowBlank="0" type="list">
      <formula1>"Not run,Pass,Fail,Blocked"</formula1>
    </dataValidation>
    <dataValidation sqref="G2:G41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3" t="inlineStr">
        <is>
          <t>Area</t>
        </is>
      </c>
      <c r="B1" s="3" t="inlineStr">
        <is>
          <t>Total</t>
        </is>
      </c>
      <c r="C1" s="3" t="inlineStr">
        <is>
          <t>Pass</t>
        </is>
      </c>
      <c r="D1" s="3" t="inlineStr">
        <is>
          <t>Fail</t>
        </is>
      </c>
      <c r="E1" s="3" t="inlineStr">
        <is>
          <t>Blocked</t>
        </is>
      </c>
      <c r="F1" s="3" t="inlineStr">
        <is>
          <t>Not run</t>
        </is>
      </c>
    </row>
    <row r="2">
      <c r="A2" t="inlineStr">
        <is>
          <t>Setup</t>
        </is>
      </c>
      <c r="B2">
        <f>COUNTIF('Test cases'!$B$2:$B$41,A2)</f>
        <v/>
      </c>
      <c r="C2">
        <f>COUNTIFS('Test cases'!$B$2:$B$41,A2,'Test cases'!$H$2:$H$41,"Pass")</f>
        <v/>
      </c>
      <c r="D2">
        <f>COUNTIFS('Test cases'!$B$2:$B$41,A2,'Test cases'!$H$2:$H$41,"Fail")</f>
        <v/>
      </c>
      <c r="E2">
        <f>COUNTIFS('Test cases'!$B$2:$B$41,A2,'Test cases'!$H$2:$H$41,"Blocked")</f>
        <v/>
      </c>
      <c r="F2">
        <f>COUNTIFS('Test cases'!$B$2:$B$41,A2,'Test cases'!$H$2:$H$41,"Not run")</f>
        <v/>
      </c>
    </row>
    <row r="3">
      <c r="A3" t="inlineStr">
        <is>
          <t>Agent states</t>
        </is>
      </c>
      <c r="B3">
        <f>COUNTIF('Test cases'!$B$2:$B$41,A3)</f>
        <v/>
      </c>
      <c r="C3">
        <f>COUNTIFS('Test cases'!$B$2:$B$41,A3,'Test cases'!$H$2:$H$41,"Pass")</f>
        <v/>
      </c>
      <c r="D3">
        <f>COUNTIFS('Test cases'!$B$2:$B$41,A3,'Test cases'!$H$2:$H$41,"Fail")</f>
        <v/>
      </c>
      <c r="E3">
        <f>COUNTIFS('Test cases'!$B$2:$B$41,A3,'Test cases'!$H$2:$H$41,"Blocked")</f>
        <v/>
      </c>
      <c r="F3">
        <f>COUNTIFS('Test cases'!$B$2:$B$41,A3,'Test cases'!$H$2:$H$41,"Not run")</f>
        <v/>
      </c>
    </row>
    <row r="4">
      <c r="A4" t="inlineStr">
        <is>
          <t>Conversations</t>
        </is>
      </c>
      <c r="B4">
        <f>COUNTIF('Test cases'!$B$2:$B$41,A4)</f>
        <v/>
      </c>
      <c r="C4">
        <f>COUNTIFS('Test cases'!$B$2:$B$41,A4,'Test cases'!$H$2:$H$41,"Pass")</f>
        <v/>
      </c>
      <c r="D4">
        <f>COUNTIFS('Test cases'!$B$2:$B$41,A4,'Test cases'!$H$2:$H$41,"Fail")</f>
        <v/>
      </c>
      <c r="E4">
        <f>COUNTIFS('Test cases'!$B$2:$B$41,A4,'Test cases'!$H$2:$H$41,"Blocked")</f>
        <v/>
      </c>
      <c r="F4">
        <f>COUNTIFS('Test cases'!$B$2:$B$41,A4,'Test cases'!$H$2:$H$41,"Not run")</f>
        <v/>
      </c>
    </row>
    <row r="5">
      <c r="A5" t="inlineStr">
        <is>
          <t>Terminal window</t>
        </is>
      </c>
      <c r="B5">
        <f>COUNTIF('Test cases'!$B$2:$B$41,A5)</f>
        <v/>
      </c>
      <c r="C5">
        <f>COUNTIFS('Test cases'!$B$2:$B$41,A5,'Test cases'!$H$2:$H$41,"Pass")</f>
        <v/>
      </c>
      <c r="D5">
        <f>COUNTIFS('Test cases'!$B$2:$B$41,A5,'Test cases'!$H$2:$H$41,"Fail")</f>
        <v/>
      </c>
      <c r="E5">
        <f>COUNTIFS('Test cases'!$B$2:$B$41,A5,'Test cases'!$H$2:$H$41,"Blocked")</f>
        <v/>
      </c>
      <c r="F5">
        <f>COUNTIFS('Test cases'!$B$2:$B$41,A5,'Test cases'!$H$2:$H$41,"Not run")</f>
        <v/>
      </c>
    </row>
    <row r="6">
      <c r="A6" t="inlineStr">
        <is>
          <t>Memory</t>
        </is>
      </c>
      <c r="B6">
        <f>COUNTIF('Test cases'!$B$2:$B$41,A6)</f>
        <v/>
      </c>
      <c r="C6">
        <f>COUNTIFS('Test cases'!$B$2:$B$41,A6,'Test cases'!$H$2:$H$41,"Pass")</f>
        <v/>
      </c>
      <c r="D6">
        <f>COUNTIFS('Test cases'!$B$2:$B$41,A6,'Test cases'!$H$2:$H$41,"Fail")</f>
        <v/>
      </c>
      <c r="E6">
        <f>COUNTIFS('Test cases'!$B$2:$B$41,A6,'Test cases'!$H$2:$H$41,"Blocked")</f>
        <v/>
      </c>
      <c r="F6">
        <f>COUNTIFS('Test cases'!$B$2:$B$41,A6,'Test cases'!$H$2:$H$41,"Not run")</f>
        <v/>
      </c>
    </row>
    <row r="7">
      <c r="A7" t="inlineStr">
        <is>
          <t>Permissions</t>
        </is>
      </c>
      <c r="B7">
        <f>COUNTIF('Test cases'!$B$2:$B$41,A7)</f>
        <v/>
      </c>
      <c r="C7">
        <f>COUNTIFS('Test cases'!$B$2:$B$41,A7,'Test cases'!$H$2:$H$41,"Pass")</f>
        <v/>
      </c>
      <c r="D7">
        <f>COUNTIFS('Test cases'!$B$2:$B$41,A7,'Test cases'!$H$2:$H$41,"Fail")</f>
        <v/>
      </c>
      <c r="E7">
        <f>COUNTIFS('Test cases'!$B$2:$B$41,A7,'Test cases'!$H$2:$H$41,"Blocked")</f>
        <v/>
      </c>
      <c r="F7">
        <f>COUNTIFS('Test cases'!$B$2:$B$41,A7,'Test cases'!$H$2:$H$41,"Not run")</f>
        <v/>
      </c>
    </row>
    <row r="8">
      <c r="A8" t="inlineStr">
        <is>
          <t>Security</t>
        </is>
      </c>
      <c r="B8">
        <f>COUNTIF('Test cases'!$B$2:$B$41,A8)</f>
        <v/>
      </c>
      <c r="C8">
        <f>COUNTIFS('Test cases'!$B$2:$B$41,A8,'Test cases'!$H$2:$H$41,"Pass")</f>
        <v/>
      </c>
      <c r="D8">
        <f>COUNTIFS('Test cases'!$B$2:$B$41,A8,'Test cases'!$H$2:$H$41,"Fail")</f>
        <v/>
      </c>
      <c r="E8">
        <f>COUNTIFS('Test cases'!$B$2:$B$41,A8,'Test cases'!$H$2:$H$41,"Blocked")</f>
        <v/>
      </c>
      <c r="F8">
        <f>COUNTIFS('Test cases'!$B$2:$B$41,A8,'Test cases'!$H$2:$H$41,"Not run")</f>
        <v/>
      </c>
    </row>
    <row r="9">
      <c r="A9" t="inlineStr">
        <is>
          <t>Compliance (GDPR / AI Act)</t>
        </is>
      </c>
      <c r="B9">
        <f>COUNTIF('Test cases'!$B$2:$B$41,A9)</f>
        <v/>
      </c>
      <c r="C9">
        <f>COUNTIFS('Test cases'!$B$2:$B$41,A9,'Test cases'!$H$2:$H$41,"Pass")</f>
        <v/>
      </c>
      <c r="D9">
        <f>COUNTIFS('Test cases'!$B$2:$B$41,A9,'Test cases'!$H$2:$H$41,"Fail")</f>
        <v/>
      </c>
      <c r="E9">
        <f>COUNTIFS('Test cases'!$B$2:$B$41,A9,'Test cases'!$H$2:$H$41,"Blocked")</f>
        <v/>
      </c>
      <c r="F9">
        <f>COUNTIFS('Test cases'!$B$2:$B$41,A9,'Test cases'!$H$2:$H$41,"Not run")</f>
        <v/>
      </c>
    </row>
    <row r="10">
      <c r="A10" t="inlineStr">
        <is>
          <t>Robustness</t>
        </is>
      </c>
      <c r="B10">
        <f>COUNTIF('Test cases'!$B$2:$B$41,A10)</f>
        <v/>
      </c>
      <c r="C10">
        <f>COUNTIFS('Test cases'!$B$2:$B$41,A10,'Test cases'!$H$2:$H$41,"Pass")</f>
        <v/>
      </c>
      <c r="D10">
        <f>COUNTIFS('Test cases'!$B$2:$B$41,A10,'Test cases'!$H$2:$H$41,"Fail")</f>
        <v/>
      </c>
      <c r="E10">
        <f>COUNTIFS('Test cases'!$B$2:$B$41,A10,'Test cases'!$H$2:$H$41,"Blocked")</f>
        <v/>
      </c>
      <c r="F10">
        <f>COUNTIFS('Test cases'!$B$2:$B$41,A10,'Test cases'!$H$2:$H$41,"Not run")</f>
        <v/>
      </c>
    </row>
    <row r="11">
      <c r="A11" s="4" t="inlineStr">
        <is>
          <t>TOTAL</t>
        </is>
      </c>
      <c r="B11" s="4">
        <f>SUM(B2:B10)</f>
        <v/>
      </c>
      <c r="C11" s="4">
        <f>SUM(C2:C10)</f>
        <v/>
      </c>
      <c r="D11" s="4">
        <f>SUM(D2:D10)</f>
        <v/>
      </c>
      <c r="E11" s="4">
        <f>SUM(E2:E10)</f>
        <v/>
      </c>
      <c r="F11" s="4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2026-10-01T06:35:27Z</dcterms:created>
  <dcterms:modified xsi:type="dcterms:W3CDTF">2026-10-01T06:35:27Z</dcterms:modified>
</cp:coreProperties>
</file>